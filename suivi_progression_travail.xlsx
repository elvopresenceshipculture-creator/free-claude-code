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&amp; Bilan Hebdomad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 &quot;h&quot;"/>
    <numFmt numFmtId="165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1E293B"/>
      <sz val="18"/>
    </font>
    <font>
      <name val="Segoe UI"/>
      <i val="1"/>
      <color rgb="0064748B"/>
      <sz val="11"/>
    </font>
    <font>
      <name val="Segoe UI"/>
      <b val="1"/>
      <color rgb="000F172A"/>
      <sz val="11"/>
    </font>
    <font>
      <name val="Segoe UI"/>
      <b val="1"/>
      <color rgb="001E3A8A"/>
      <sz val="13"/>
    </font>
    <font>
      <name val="Segoe UI"/>
      <b val="1"/>
      <color rgb="00FFFFFF"/>
      <sz val="11"/>
    </font>
    <font>
      <name val="Segoe U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9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9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9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0" fillId="4" borderId="1" pivotButton="0" quotePrefix="0" xfId="0"/>
    <xf numFmtId="165" fontId="0" fillId="4" borderId="1" pivotButton="0" quotePrefix="0" xfId="0"/>
    <xf numFmtId="9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Poids des Objectifs Prioritaires</a:t>
            </a:r>
          </a:p>
        </rich>
      </tx>
    </title>
    <plotArea>
      <pieChart>
        <varyColors val="1"/>
        <ser>
          <idx val="0"/>
          <order val="0"/>
          <tx>
            <strRef>
              <f>'Suivi &amp; Bilan Hebdomadaire'!D8</f>
            </strRef>
          </tx>
          <spPr>
            <a:ln>
              <a:prstDash val="solid"/>
            </a:ln>
          </spPr>
          <cat>
            <numRef>
              <f>'Suivi &amp; Bilan Hebdomadaire'!$B$9:$B$12</f>
            </numRef>
          </cat>
          <val>
            <numRef>
              <f>'Suivi &amp; Bilan Hebdomadaire'!$D$9:$D$12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Évolution de la Progression Quotidienne (%)</a:t>
            </a:r>
          </a:p>
        </rich>
      </tx>
    </title>
    <plotArea>
      <lineChart>
        <grouping val="standard"/>
        <ser>
          <idx val="0"/>
          <order val="0"/>
          <tx>
            <strRef>
              <f>'Suivi &amp; Bilan Hebdomadaire'!D17</f>
            </strRef>
          </tx>
          <spPr>
            <a:ln w="30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'Suivi &amp; Bilan Hebdomadaire'!$A$18:$A$34</f>
            </numRef>
          </cat>
          <val>
            <numRef>
              <f>'Suivi &amp; Bilan Hebdomadaire'!$D$18:$D$34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Progression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2" customWidth="1" min="3" max="3"/>
    <col width="45" customWidth="1" min="4" max="4"/>
    <col width="25" customWidth="1" min="5" max="5"/>
    <col width="35" customWidth="1" min="6" max="6"/>
    <col width="48" customWidth="1" min="7" max="7"/>
  </cols>
  <sheetData>
    <row r="1">
      <c r="A1" s="1" t="inlineStr">
        <is>
          <t>Tableau de Bord - Objectifs Prioritaires, Suivi &amp; Bilan</t>
        </is>
      </c>
    </row>
    <row r="2">
      <c r="A2" s="2" t="inlineStr">
        <is>
          <t>Suivi stratégique par ordre de priorité, avancement quotidien, temps de travail et bilans hebdomadaires</t>
        </is>
      </c>
    </row>
    <row r="4">
      <c r="A4" s="3" t="inlineStr">
        <is>
          <t>Total Heures</t>
        </is>
      </c>
      <c r="B4" s="3">
        <f>SUM(C18:C34)</f>
        <v/>
      </c>
      <c r="D4" s="3" t="inlineStr">
        <is>
          <t>Progression Moyenne</t>
        </is>
      </c>
      <c r="E4" s="3">
        <f>AVERAGE(D18:D34)</f>
        <v/>
      </c>
    </row>
    <row r="5">
      <c r="A5" s="4">
        <f>B4</f>
        <v/>
      </c>
      <c r="B5" s="5" t="n"/>
      <c r="D5" s="4">
        <f>E4</f>
        <v/>
      </c>
      <c r="E5" s="6" t="n"/>
    </row>
    <row r="7">
      <c r="A7" s="7" t="inlineStr">
        <is>
          <t>0. Objectifs Fixés pour la Semaine (Classés par Ordre de Priorité)</t>
        </is>
      </c>
    </row>
    <row r="8">
      <c r="A8" s="8" t="inlineStr">
        <is>
          <t>Priorité</t>
        </is>
      </c>
      <c r="B8" s="8" t="inlineStr">
        <is>
          <t>Objectif / Tâche Fixée</t>
        </is>
      </c>
      <c r="C8" s="8" t="inlineStr">
        <is>
          <t>Niveau d'Importance</t>
        </is>
      </c>
      <c r="D8" s="8" t="inlineStr">
        <is>
          <t>Poids (%)</t>
        </is>
      </c>
      <c r="E8" s="8" t="inlineStr">
        <is>
          <t>Statut Actuel</t>
        </is>
      </c>
    </row>
    <row r="9">
      <c r="A9" s="9" t="n">
        <v>1</v>
      </c>
      <c r="B9" s="10" t="inlineStr">
        <is>
          <t>Résolution des problèmes de CI/CD et tests robustes</t>
        </is>
      </c>
      <c r="C9" s="9" t="inlineStr">
        <is>
          <t>Critique</t>
        </is>
      </c>
      <c r="D9" s="11" t="n">
        <v>0.4</v>
      </c>
      <c r="E9" s="9" t="inlineStr">
        <is>
          <t>Atteint 🎯</t>
        </is>
      </c>
    </row>
    <row r="10">
      <c r="A10" s="12" t="n">
        <v>2</v>
      </c>
      <c r="B10" s="13" t="inlineStr">
        <is>
          <t>Migration modulaire de l'architecture &amp; core/</t>
        </is>
      </c>
      <c r="C10" s="12" t="inlineStr">
        <is>
          <t>Important</t>
        </is>
      </c>
      <c r="D10" s="14" t="n">
        <v>0.3</v>
      </c>
      <c r="E10" s="12" t="inlineStr">
        <is>
          <t>En cours ⏳</t>
        </is>
      </c>
    </row>
    <row r="11">
      <c r="A11" s="9" t="n">
        <v>3</v>
      </c>
      <c r="B11" s="10" t="inlineStr">
        <is>
          <t>Documentation technique &amp; guides d'utilisation</t>
        </is>
      </c>
      <c r="C11" s="9" t="inlineStr">
        <is>
          <t>Moyen</t>
        </is>
      </c>
      <c r="D11" s="11" t="n">
        <v>0.2</v>
      </c>
      <c r="E11" s="9" t="inlineStr">
        <is>
          <t>En cours ⏳</t>
        </is>
      </c>
    </row>
    <row r="12">
      <c r="A12" s="12" t="n">
        <v>4</v>
      </c>
      <c r="B12" s="13" t="inlineStr">
        <is>
          <t>Optimisations mineures et nettoyage du code</t>
        </is>
      </c>
      <c r="C12" s="12" t="inlineStr">
        <is>
          <t>Faible</t>
        </is>
      </c>
      <c r="D12" s="14" t="n">
        <v>0.1</v>
      </c>
      <c r="E12" s="12" t="inlineStr">
        <is>
          <t>À planifier ⏸️</t>
        </is>
      </c>
    </row>
    <row r="16">
      <c r="A16" s="7" t="inlineStr">
        <is>
          <t>1. Suivi Quotidien de l'Avancement</t>
        </is>
      </c>
    </row>
    <row r="17">
      <c r="A17" s="8" t="inlineStr">
        <is>
          <t>Date</t>
        </is>
      </c>
      <c r="B17" s="8" t="inlineStr">
        <is>
          <t>Tâches Réalisées</t>
        </is>
      </c>
      <c r="C17" s="8" t="inlineStr">
        <is>
          <t>Temps Passé (h)</t>
        </is>
      </c>
      <c r="D17" s="8" t="inlineStr">
        <is>
          <t>Progression (%)</t>
        </is>
      </c>
      <c r="E17" s="8" t="inlineStr">
        <is>
          <t>Notes / Bloquants</t>
        </is>
      </c>
      <c r="F17" s="8" t="inlineStr">
        <is>
          <t>Appréciation / Statut</t>
        </is>
      </c>
    </row>
    <row r="18">
      <c r="A18" s="12" t="inlineStr">
        <is>
          <t>2026-08-01</t>
        </is>
      </c>
      <c r="B18" s="13" t="inlineStr">
        <is>
          <t>Cadrage du projet et spécifications techniques</t>
        </is>
      </c>
      <c r="C18" s="15" t="n">
        <v>6.5</v>
      </c>
      <c r="D18" s="14" t="n">
        <v>0.2</v>
      </c>
      <c r="E18" s="13" t="inlineStr">
        <is>
          <t>Validation OK</t>
        </is>
      </c>
      <c r="F18" s="12">
        <f>IF(D18&gt;=1, "Objectif Atteint 🎯", IF(D18&gt;=0.5, "Bonne Progression 👍", IF(D18&gt;0, "En Cours ⏳", "À Planifier ⏸️")))</f>
        <v/>
      </c>
    </row>
    <row r="19">
      <c r="A19" s="9" t="inlineStr">
        <is>
          <t>2026-08-02</t>
        </is>
      </c>
      <c r="B19" s="10" t="inlineStr">
        <is>
          <t>Mise en place de l'architecture de base</t>
        </is>
      </c>
      <c r="C19" s="16" t="n">
        <v>7</v>
      </c>
      <c r="D19" s="11" t="n">
        <v>0.35</v>
      </c>
      <c r="E19" s="10" t="inlineStr">
        <is>
          <t>Dépendances résolues</t>
        </is>
      </c>
      <c r="F19" s="9">
        <f>IF(D19&gt;=1, "Objectif Atteint 🎯", IF(D19&gt;=0.5, "Bonne Progression 👍", IF(D19&gt;0, "En Cours ⏳", "À Planifier ⏸️")))</f>
        <v/>
      </c>
    </row>
    <row r="20">
      <c r="A20" s="12" t="inlineStr">
        <is>
          <t>2026-08-03</t>
        </is>
      </c>
      <c r="B20" s="13" t="inlineStr">
        <is>
          <t>Développement du module principal et tests unitaires</t>
        </is>
      </c>
      <c r="C20" s="15" t="n">
        <v>8</v>
      </c>
      <c r="D20" s="14" t="n">
        <v>0.5</v>
      </c>
      <c r="E20" s="13" t="inlineStr">
        <is>
          <t>RAS</t>
        </is>
      </c>
      <c r="F20" s="12">
        <f>IF(D20&gt;=1, "Objectif Atteint 🎯", IF(D20&gt;=0.5, "Bonne Progression 👍", IF(D20&gt;0, "En Cours ⏳", "À Planifier ⏸️")))</f>
        <v/>
      </c>
    </row>
    <row r="21">
      <c r="A21" s="9" t="inlineStr">
        <is>
          <t>2026-08-04</t>
        </is>
      </c>
      <c r="B21" s="10" t="inlineStr">
        <is>
          <t>Intégration des APIs et gestion des erreurs</t>
        </is>
      </c>
      <c r="C21" s="16" t="n">
        <v>7.5</v>
      </c>
      <c r="D21" s="11" t="n">
        <v>0.65</v>
      </c>
      <c r="E21" s="10" t="inlineStr">
        <is>
          <t>Légère latence API testée</t>
        </is>
      </c>
      <c r="F21" s="9">
        <f>IF(D21&gt;=1, "Objectif Atteint 🎯", IF(D21&gt;=0.5, "Bonne Progression 👍", IF(D21&gt;0, "En Cours ⏳", "À Planifier ⏸️")))</f>
        <v/>
      </c>
    </row>
    <row r="22">
      <c r="A22" s="12" t="inlineStr">
        <is>
          <t>2026-08-05</t>
        </is>
      </c>
      <c r="B22" s="13" t="inlineStr">
        <is>
          <t>Optimisation des performances et revue de code</t>
        </is>
      </c>
      <c r="C22" s="15" t="n">
        <v>6</v>
      </c>
      <c r="D22" s="14" t="n">
        <v>0.75</v>
      </c>
      <c r="E22" s="13" t="inlineStr">
        <is>
          <t>Ruff &amp; ty validés</t>
        </is>
      </c>
      <c r="F22" s="12">
        <f>IF(D22&gt;=1, "Objectif Atteint 🎯", IF(D22&gt;=0.5, "Bonne Progression 👍", IF(D22&gt;0, "En Cours ⏳", "À Planifier ⏸️")))</f>
        <v/>
      </c>
    </row>
    <row r="23">
      <c r="A23" s="9" t="inlineStr">
        <is>
          <t>2026-08-06</t>
        </is>
      </c>
      <c r="B23" s="10" t="inlineStr">
        <is>
          <t>Rédaction de la documentation technique</t>
        </is>
      </c>
      <c r="C23" s="16" t="n">
        <v>5</v>
      </c>
      <c r="D23" s="11" t="n">
        <v>0.85</v>
      </c>
      <c r="E23" s="10" t="inlineStr">
        <is>
          <t>En cours</t>
        </is>
      </c>
      <c r="F23" s="9">
        <f>IF(D23&gt;=1, "Objectif Atteint 🎯", IF(D23&gt;=0.5, "Bonne Progression 👍", IF(D23&gt;0, "En Cours ⏳", "À Planifier ⏸️")))</f>
        <v/>
      </c>
    </row>
    <row r="24">
      <c r="A24" s="12" t="inlineStr">
        <is>
          <t>2026-08-07</t>
        </is>
      </c>
      <c r="B24" s="13" t="inlineStr">
        <is>
          <t>Tests de charge et validation finale</t>
        </is>
      </c>
      <c r="C24" s="15" t="n">
        <v>7</v>
      </c>
      <c r="D24" s="14" t="n">
        <v>1</v>
      </c>
      <c r="E24" s="13" t="inlineStr">
        <is>
          <t>Objectif atteint avec succès !</t>
        </is>
      </c>
      <c r="F24" s="12">
        <f>IF(D24&gt;=1, "Objectif Atteint 🎯", IF(D24&gt;=0.5, "Bonne Progression 👍", IF(D24&gt;0, "En Cours ⏳", "À Planifier ⏸️")))</f>
        <v/>
      </c>
    </row>
    <row r="25">
      <c r="A25" s="9" t="inlineStr">
        <is>
          <t>2026-08-11</t>
        </is>
      </c>
      <c r="B25" s="10" t="inlineStr">
        <is>
          <t>Audit de sécurité et revue des dépendances</t>
        </is>
      </c>
      <c r="C25" s="16" t="n">
        <v>6</v>
      </c>
      <c r="D25" s="11" t="n">
        <v>0.2</v>
      </c>
      <c r="E25" s="10" t="inlineStr">
        <is>
          <t>Sécurité validée</t>
        </is>
      </c>
      <c r="F25" s="9">
        <f>IF(D25&gt;=1, "Objectif Atteint 🎯", IF(D25&gt;=0.5, "Bonne Progression 👍", IF(D25&gt;0, "En Cours ⏳", "À Planifier ⏸️")))</f>
        <v/>
      </c>
    </row>
    <row r="26">
      <c r="A26" s="12" t="inlineStr">
        <is>
          <t>2026-08-12</t>
        </is>
      </c>
      <c r="B26" s="13" t="inlineStr">
        <is>
          <t>Refactorisation des utilitaires partagés</t>
        </is>
      </c>
      <c r="C26" s="15" t="n">
        <v>7</v>
      </c>
      <c r="D26" s="14" t="n">
        <v>0.55</v>
      </c>
      <c r="E26" s="13" t="inlineStr">
        <is>
          <t>Structure modulaire améliorée</t>
        </is>
      </c>
      <c r="F26" s="12">
        <f>IF(D26&gt;=1, "Objectif Atteint 🎯", IF(D26&gt;=0.5, "Bonne Progression 👍", IF(D26&gt;0, "En Cours ⏳", "À Planifier ⏸️")))</f>
        <v/>
      </c>
    </row>
    <row r="27">
      <c r="A27" s="9" t="inlineStr">
        <is>
          <t>2026-08-13</t>
        </is>
      </c>
      <c r="B27" s="10" t="inlineStr">
        <is>
          <t>Mise en place des règles de CI/CD et tests robustes</t>
        </is>
      </c>
      <c r="C27" s="16" t="n">
        <v>8</v>
      </c>
      <c r="D27" s="11" t="n">
        <v>1</v>
      </c>
      <c r="E27" s="10" t="inlineStr">
        <is>
          <t>Pipeline opérationnel</t>
        </is>
      </c>
      <c r="F27" s="9">
        <f>IF(D27&gt;=1, "Objectif Atteint 🎯", IF(D27&gt;=0.5, "Bonne Progression 👍", IF(D27&gt;0, "En Cours ⏳", "À Planifier ⏸️")))</f>
        <v/>
      </c>
    </row>
    <row r="28">
      <c r="A28" s="12" t="inlineStr">
        <is>
          <t>2026-08-18</t>
        </is>
      </c>
      <c r="B28" s="13" t="inlineStr">
        <is>
          <t>Migration de l'architecture vers une structure modulaire</t>
        </is>
      </c>
      <c r="C28" s="15" t="n">
        <v>7.5</v>
      </c>
      <c r="D28" s="14" t="n">
        <v>0.3</v>
      </c>
      <c r="E28" s="13" t="inlineStr">
        <is>
          <t>Conflits de dépendances / imports circulaires</t>
        </is>
      </c>
      <c r="F28" s="12">
        <f>IF(D28&gt;=1, "Objectif Atteint 🎯", IF(D28&gt;=0.5, "Bonne Progression 👍", IF(D28&gt;0, "En Cours ⏳", "À Planifier ⏸️")))</f>
        <v/>
      </c>
    </row>
    <row r="29">
      <c r="A29" s="9" t="inlineStr">
        <is>
          <t>2026-08-19</t>
        </is>
      </c>
      <c r="B29" s="10" t="inlineStr">
        <is>
          <t>Résolution des cycles d'import et protocoles partagés</t>
        </is>
      </c>
      <c r="C29" s="16" t="n">
        <v>8</v>
      </c>
      <c r="D29" s="11" t="n">
        <v>0.6</v>
      </c>
      <c r="E29" s="10" t="inlineStr">
        <is>
          <t>Code épuré et validé par Ruff/ty</t>
        </is>
      </c>
      <c r="F29" s="9">
        <f>IF(D29&gt;=1, "Objectif Atteint 🎯", IF(D29&gt;=0.5, "Bonne Progression 👍", IF(D29&gt;0, "En Cours ⏳", "À Planifier ⏸️")))</f>
        <v/>
      </c>
    </row>
    <row r="30">
      <c r="A30" s="12" t="inlineStr">
        <is>
          <t>2026-08-20</t>
        </is>
      </c>
      <c r="B30" s="13" t="inlineStr">
        <is>
          <t>Développement des scripts d'automatisation CI/CD &amp; tests</t>
        </is>
      </c>
      <c r="C30" s="15" t="n">
        <v>7</v>
      </c>
      <c r="D30" s="14" t="n">
        <v>0.85</v>
      </c>
      <c r="E30" s="13" t="inlineStr">
        <is>
          <t>Temps de build un peu long sur le pipeline</t>
        </is>
      </c>
      <c r="F30" s="12">
        <f>IF(D30&gt;=1, "Objectif Atteint 🎯", IF(D30&gt;=0.5, "Bonne Progression 👍", IF(D30&gt;0, "En Cours ⏳", "À Planifier ⏸️")))</f>
        <v/>
      </c>
    </row>
    <row r="31">
      <c r="A31" s="9" t="inlineStr">
        <is>
          <t>2026-08-21</t>
        </is>
      </c>
      <c r="B31" s="10" t="inlineStr">
        <is>
          <t>Revue de code finale, documentation &amp; déploiement test</t>
        </is>
      </c>
      <c r="C31" s="16" t="n">
        <v>6.5</v>
      </c>
      <c r="D31" s="11" t="n">
        <v>1</v>
      </c>
      <c r="E31" s="10" t="inlineStr">
        <is>
          <t>Tout est validé avec succès !</t>
        </is>
      </c>
      <c r="F31" s="9">
        <f>IF(D31&gt;=1, "Objectif Atteint 🎯", IF(D31&gt;=0.5, "Bonne Progression 👍", IF(D31&gt;0, "En Cours ⏳", "À Planifier ⏸️")))</f>
        <v/>
      </c>
    </row>
    <row r="32">
      <c r="A32" s="17" t="inlineStr"/>
      <c r="B32" s="17" t="inlineStr"/>
      <c r="C32" s="18" t="inlineStr"/>
      <c r="D32" s="19" t="inlineStr"/>
      <c r="E32" s="17" t="inlineStr"/>
      <c r="F32" s="12">
        <f>IF(D32="","",IF(D32&gt;=1, "Objectif Atteint 🎯", IF(D32&gt;=0.5, "Bonne Progression 👍", IF(D32&gt;0, "En Cours ⏳", "À Planifier ⏸️"))))</f>
        <v/>
      </c>
    </row>
    <row r="33">
      <c r="A33" s="20" t="inlineStr"/>
      <c r="B33" s="20" t="inlineStr"/>
      <c r="C33" s="21" t="inlineStr"/>
      <c r="D33" s="22" t="inlineStr"/>
      <c r="E33" s="20" t="inlineStr"/>
      <c r="F33" s="9">
        <f>IF(D33="","",IF(D33&gt;=1, "Objectif Atteint 🎯", IF(D33&gt;=0.5, "Bonne Progression 👍", IF(D33&gt;0, "En Cours ⏳", "À Planifier ⏸️"))))</f>
        <v/>
      </c>
    </row>
    <row r="34">
      <c r="A34" s="17" t="inlineStr"/>
      <c r="B34" s="17" t="inlineStr"/>
      <c r="C34" s="18" t="inlineStr"/>
      <c r="D34" s="19" t="inlineStr"/>
      <c r="E34" s="17" t="inlineStr"/>
      <c r="F34" s="12">
        <f>IF(D34="","",IF(D34&gt;=1, "Objectif Atteint 🎯", IF(D34&gt;=0.5, "Bonne Progression 👍", IF(D34&gt;0, "En Cours ⏳", "À Planifier ⏸️"))))</f>
        <v/>
      </c>
    </row>
    <row r="37">
      <c r="A37" s="7" t="inlineStr">
        <is>
          <t>2. Bilan Hebdomadaire &amp; Recommandations Intelligentes (IA)</t>
        </is>
      </c>
    </row>
    <row r="38">
      <c r="A38" s="8" t="inlineStr">
        <is>
          <t>Semaine</t>
        </is>
      </c>
      <c r="B38" s="8" t="inlineStr">
        <is>
          <t>Heures Totales (h)</t>
        </is>
      </c>
      <c r="C38" s="8" t="inlineStr">
        <is>
          <t>Avancement Moyen</t>
        </is>
      </c>
      <c r="D38" s="8" t="inlineStr">
        <is>
          <t>Réalisations Clés</t>
        </is>
      </c>
      <c r="E38" s="8" t="inlineStr">
        <is>
          <t>Objectifs Atteints</t>
        </is>
      </c>
      <c r="F38" s="8" t="inlineStr">
        <is>
          <t>Difficultés Rencontrées</t>
        </is>
      </c>
      <c r="G38" s="8" t="inlineStr">
        <is>
          <t>Solutions / Nouvelles Approches (IA)</t>
        </is>
      </c>
    </row>
    <row r="39">
      <c r="A39" s="9" t="inlineStr">
        <is>
          <t>Semaine 31 (01/08 - 07/08)</t>
        </is>
      </c>
      <c r="B39" s="23">
        <f>SUM(C18:C24)</f>
        <v/>
      </c>
      <c r="C39" s="11">
        <f>AVERAGE(D18:D24)</f>
        <v/>
      </c>
      <c r="D39" s="24" t="inlineStr">
        <is>
          <t>Cadrage, architecture initiale, développement module et APIs</t>
        </is>
      </c>
      <c r="E39" s="24" t="inlineStr">
        <is>
          <t>100% des jalons atteints</t>
        </is>
      </c>
      <c r="F39" s="24" t="inlineStr">
        <is>
          <t>Légère latence API constatée</t>
        </is>
      </c>
      <c r="G39" s="24" t="inlineStr">
        <is>
          <t>Mettre en place un cache local et paralléliser les requêtes.</t>
        </is>
      </c>
    </row>
    <row r="40">
      <c r="A40" s="12" t="inlineStr">
        <is>
          <t>Semaine 32 (08/08 - 14/08)</t>
        </is>
      </c>
      <c r="B40" s="25">
        <f>SUM(C25:C27)</f>
        <v/>
      </c>
      <c r="C40" s="14">
        <f>AVERAGE(D25:D27)</f>
        <v/>
      </c>
      <c r="D40" s="26" t="inlineStr">
        <is>
          <t>Audit de sécurité, refactorisation &amp; pipeline CI/CD</t>
        </is>
      </c>
      <c r="E40" s="26" t="inlineStr">
        <is>
          <t>Validation finale validée</t>
        </is>
      </c>
      <c r="F40" s="26" t="inlineStr">
        <is>
          <t>Volume de tests élevé</t>
        </is>
      </c>
      <c r="G40" s="26" t="inlineStr">
        <is>
          <t>Automatiser les tests de charge dans le pipeline CI/CD.</t>
        </is>
      </c>
    </row>
    <row r="41">
      <c r="A41" s="9" t="inlineStr">
        <is>
          <t>Semaine 33 (18/08 - 21/08)</t>
        </is>
      </c>
      <c r="B41" s="23">
        <f>SUM(C28:C31)</f>
        <v/>
      </c>
      <c r="C41" s="11">
        <f>AVERAGE(D28:D31)</f>
        <v/>
      </c>
      <c r="D41" s="24" t="inlineStr">
        <is>
          <t>Migration modulaire, résolution des imports &amp; scripts CI/CD</t>
        </is>
      </c>
      <c r="E41" s="24" t="inlineStr">
        <is>
          <t>100% des jalons validés</t>
        </is>
      </c>
      <c r="F41" s="24" t="inlineStr">
        <is>
          <t>Conflits de dépendances &amp; temps de build</t>
        </is>
      </c>
      <c r="G41" s="24" t="inlineStr">
        <is>
          <t>Isoler les types dans core/ et mettre en cache les environnements uv.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2026-08-28T16:20:52Z</dcterms:created>
  <dcterms:modified xsi:type="dcterms:W3CDTF">2026-08-28T16:20:52Z</dcterms:modified>
</cp:coreProperties>
</file>